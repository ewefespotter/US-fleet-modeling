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<sst xmlns="http://schemas.openxmlformats.org/spreadsheetml/2006/main" uniqueCount="15">
  <si>
    <t>Table 1</t>
  </si>
  <si>
    <t>Chemistry</t>
  </si>
  <si>
    <t>Component Mass</t>
  </si>
  <si>
    <t>Total Mass</t>
  </si>
  <si>
    <t>Cell Mass</t>
  </si>
  <si>
    <t>Pack Mass</t>
  </si>
  <si>
    <t>NMC 811</t>
  </si>
  <si>
    <t>NMC 333</t>
  </si>
  <si>
    <t>NMC 532</t>
  </si>
  <si>
    <t>NMC 622</t>
  </si>
  <si>
    <t>NMC 95</t>
  </si>
  <si>
    <t>NCA</t>
  </si>
  <si>
    <t>LFP</t>
  </si>
  <si>
    <t>LMO</t>
  </si>
  <si>
    <t>LMO-LTO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</si>
</sst>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3" fontId="3" borderId="3" applyNumberFormat="1" applyFont="1" applyFill="0" applyBorder="1" applyAlignment="1" applyProtection="0">
      <alignment vertical="center" wrapText="1" readingOrder="1"/>
    </xf>
    <xf numFmtId="3" fontId="0" borderId="4" applyNumberFormat="1" applyFont="1" applyFill="0" applyBorder="1" applyAlignment="1" applyProtection="0">
      <alignment vertical="top" wrapText="1"/>
    </xf>
    <xf numFmtId="0" fontId="3" borderId="4" applyNumberFormat="1" applyFont="1" applyFill="0" applyBorder="1" applyAlignment="1" applyProtection="0">
      <alignment vertical="top" wrapText="1"/>
    </xf>
    <xf numFmtId="0" fontId="3" borderId="4" applyNumberFormat="1" applyFont="1" applyFill="0" applyBorder="1" applyAlignment="1" applyProtection="0">
      <alignment vertical="center" wrapText="1"/>
    </xf>
    <xf numFmtId="3" fontId="3" borderId="4" applyNumberFormat="1" applyFont="1" applyFill="0" applyBorder="1" applyAlignment="1" applyProtection="0">
      <alignment vertical="center" wrapText="1" readingOrder="1"/>
    </xf>
    <xf numFmtId="0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3" fontId="3" borderId="6" applyNumberFormat="1" applyFont="1" applyFill="0" applyBorder="1" applyAlignment="1" applyProtection="0">
      <alignment vertical="center" wrapText="1" readingOrder="1"/>
    </xf>
    <xf numFmtId="0" fontId="0" borderId="7" applyNumberFormat="0" applyFont="1" applyFill="0" applyBorder="1" applyAlignment="1" applyProtection="0">
      <alignment vertical="top" wrapText="1"/>
    </xf>
    <xf numFmtId="0" fontId="3" borderId="7" applyNumberFormat="0" applyFont="1" applyFill="0" applyBorder="1" applyAlignment="1" applyProtection="0">
      <alignment vertical="center" wrapText="1" readingOrder="1"/>
    </xf>
    <xf numFmtId="3" fontId="3" borderId="7" applyNumberFormat="1" applyFont="1" applyFill="0" applyBorder="1" applyAlignment="1" applyProtection="0">
      <alignment vertical="center" wrapText="1" readingOrder="1"/>
    </xf>
    <xf numFmtId="3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3" borderId="7" applyNumberFormat="1" applyFont="1" applyFill="0" applyBorder="1" applyAlignment="1" applyProtection="0">
      <alignment vertical="center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2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H8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s="4"/>
      <c r="G2" s="4"/>
      <c r="H2" s="4"/>
    </row>
    <row r="3" ht="20.25" customHeight="1">
      <c r="A3" t="s" s="5">
        <v>6</v>
      </c>
      <c r="B3" s="6">
        <v>7794921</v>
      </c>
      <c r="C3" s="7">
        <f>SUM(B3:B11)</f>
        <v>17096400</v>
      </c>
      <c r="D3" s="8">
        <v>0.7</v>
      </c>
      <c r="E3" s="9">
        <v>507</v>
      </c>
      <c r="F3" s="10">
        <v>3540942</v>
      </c>
      <c r="G3" s="11">
        <f>D3*211000000</f>
        <v>147700000</v>
      </c>
      <c r="H3" s="11">
        <f>SUM(F3:F11)/G3</f>
        <v>0.053841076506432</v>
      </c>
    </row>
    <row r="4" ht="20.05" customHeight="1">
      <c r="A4" t="s" s="12">
        <v>6</v>
      </c>
      <c r="B4" s="13">
        <v>5287629</v>
      </c>
      <c r="C4" s="14"/>
      <c r="D4" s="14"/>
      <c r="E4" s="15"/>
      <c r="F4" s="16">
        <v>2399278</v>
      </c>
      <c r="G4" s="14"/>
      <c r="H4" s="14"/>
    </row>
    <row r="5" ht="20.05" customHeight="1">
      <c r="A5" t="s" s="12">
        <v>6</v>
      </c>
      <c r="B5" s="13">
        <v>765260</v>
      </c>
      <c r="C5" s="14"/>
      <c r="D5" s="14"/>
      <c r="E5" s="15"/>
      <c r="F5" s="16">
        <v>212040</v>
      </c>
      <c r="G5" s="14"/>
      <c r="H5" s="14"/>
    </row>
    <row r="6" ht="20.05" customHeight="1">
      <c r="A6" t="s" s="12">
        <v>6</v>
      </c>
      <c r="B6" s="13">
        <v>1806631</v>
      </c>
      <c r="C6" s="14"/>
      <c r="D6" s="14"/>
      <c r="E6" s="15"/>
      <c r="F6" s="16">
        <v>500195</v>
      </c>
      <c r="G6" s="14"/>
      <c r="H6" s="14"/>
    </row>
    <row r="7" ht="20.05" customHeight="1">
      <c r="A7" t="s" s="12">
        <v>6</v>
      </c>
      <c r="B7" s="13">
        <v>60521</v>
      </c>
      <c r="C7" s="14"/>
      <c r="D7" s="14"/>
      <c r="E7" s="15"/>
      <c r="F7" s="16">
        <v>61596</v>
      </c>
      <c r="G7" s="14"/>
      <c r="H7" s="14"/>
    </row>
    <row r="8" ht="20.05" customHeight="1">
      <c r="A8" t="s" s="12">
        <v>6</v>
      </c>
      <c r="B8" s="13">
        <v>42737</v>
      </c>
      <c r="C8" s="14"/>
      <c r="D8" s="14"/>
      <c r="E8" s="15"/>
      <c r="F8" s="16">
        <v>45840</v>
      </c>
      <c r="G8" s="14"/>
      <c r="H8" s="14"/>
    </row>
    <row r="9" ht="20.05" customHeight="1">
      <c r="A9" t="s" s="12">
        <v>6</v>
      </c>
      <c r="B9" s="13">
        <v>80413</v>
      </c>
      <c r="C9" s="14"/>
      <c r="D9" s="14"/>
      <c r="E9" s="15"/>
      <c r="F9" s="16">
        <v>69787</v>
      </c>
      <c r="G9" s="14"/>
      <c r="H9" s="14"/>
    </row>
    <row r="10" ht="20.05" customHeight="1">
      <c r="A10" t="s" s="12">
        <v>6</v>
      </c>
      <c r="B10" s="13">
        <v>1085691</v>
      </c>
      <c r="C10" s="14"/>
      <c r="D10" s="14"/>
      <c r="E10" s="15"/>
      <c r="F10" s="16">
        <v>942924</v>
      </c>
      <c r="G10" s="14"/>
      <c r="H10" s="14"/>
    </row>
    <row r="11" ht="20.05" customHeight="1">
      <c r="A11" t="s" s="12">
        <v>6</v>
      </c>
      <c r="B11" s="13">
        <v>172597</v>
      </c>
      <c r="C11" s="14"/>
      <c r="D11" s="14"/>
      <c r="E11" s="15"/>
      <c r="F11" s="16">
        <v>179725</v>
      </c>
      <c r="G11" s="14"/>
      <c r="H11" s="14"/>
    </row>
    <row r="12" ht="20.05" customHeight="1">
      <c r="A12" t="s" s="12">
        <v>7</v>
      </c>
      <c r="B12" s="13">
        <v>10129859</v>
      </c>
      <c r="C12" s="17">
        <f>SUM(B12:B20)</f>
        <v>20610394</v>
      </c>
      <c r="D12" s="18">
        <v>0.9</v>
      </c>
      <c r="E12" s="18">
        <v>557</v>
      </c>
      <c r="F12" s="14"/>
      <c r="G12" s="14"/>
      <c r="H12" s="14"/>
    </row>
    <row r="13" ht="20.05" customHeight="1">
      <c r="A13" t="s" s="12">
        <v>7</v>
      </c>
      <c r="B13" s="13">
        <v>5493979</v>
      </c>
      <c r="C13" s="14"/>
      <c r="D13" s="14"/>
      <c r="E13" s="14"/>
      <c r="F13" s="14"/>
      <c r="G13" s="14"/>
      <c r="H13" s="14"/>
    </row>
    <row r="14" ht="20.05" customHeight="1">
      <c r="A14" t="s" s="12">
        <v>7</v>
      </c>
      <c r="B14" s="13">
        <v>985605</v>
      </c>
      <c r="C14" s="14"/>
      <c r="D14" s="14"/>
      <c r="E14" s="14"/>
      <c r="F14" s="14"/>
      <c r="G14" s="14"/>
      <c r="H14" s="14"/>
    </row>
    <row r="15" ht="20.05" customHeight="1">
      <c r="A15" t="s" s="12">
        <v>7</v>
      </c>
      <c r="B15" s="13">
        <v>2314096</v>
      </c>
      <c r="C15" s="14"/>
      <c r="D15" s="14"/>
      <c r="E15" s="14"/>
      <c r="F15" s="14"/>
      <c r="G15" s="14"/>
      <c r="H15" s="14"/>
    </row>
    <row r="16" ht="20.05" customHeight="1">
      <c r="A16" t="s" s="12">
        <v>7</v>
      </c>
      <c r="B16" s="13">
        <v>64067</v>
      </c>
      <c r="C16" s="14"/>
      <c r="D16" s="14"/>
      <c r="E16" s="14"/>
      <c r="F16" s="14"/>
      <c r="G16" s="14"/>
      <c r="H16" s="14"/>
    </row>
    <row r="17" ht="20.05" customHeight="1">
      <c r="A17" t="s" s="12">
        <v>7</v>
      </c>
      <c r="B17" s="13">
        <v>58793</v>
      </c>
      <c r="C17" s="14"/>
      <c r="D17" s="14"/>
      <c r="E17" s="14"/>
      <c r="F17" s="14"/>
      <c r="G17" s="14"/>
      <c r="H17" s="14"/>
    </row>
    <row r="18" ht="20.05" customHeight="1">
      <c r="A18" t="s" s="12">
        <v>7</v>
      </c>
      <c r="B18" s="13">
        <v>104104</v>
      </c>
      <c r="C18" s="14"/>
      <c r="D18" s="14"/>
      <c r="E18" s="14"/>
      <c r="F18" s="14"/>
      <c r="G18" s="14"/>
      <c r="H18" s="14"/>
    </row>
    <row r="19" ht="20.05" customHeight="1">
      <c r="A19" t="s" s="12">
        <v>7</v>
      </c>
      <c r="B19" s="13">
        <v>1265839</v>
      </c>
      <c r="C19" s="14"/>
      <c r="D19" s="14"/>
      <c r="E19" s="14"/>
      <c r="F19" s="14"/>
      <c r="G19" s="14"/>
      <c r="H19" s="14"/>
    </row>
    <row r="20" ht="20.05" customHeight="1">
      <c r="A20" t="s" s="12">
        <v>7</v>
      </c>
      <c r="B20" s="13">
        <v>194052</v>
      </c>
      <c r="C20" s="14"/>
      <c r="D20" s="14"/>
      <c r="E20" s="14"/>
      <c r="F20" s="14"/>
      <c r="G20" s="14"/>
      <c r="H20" s="14"/>
    </row>
    <row r="21" ht="20.05" customHeight="1">
      <c r="A21" t="s" s="12">
        <v>8</v>
      </c>
      <c r="B21" s="13">
        <v>9227760</v>
      </c>
      <c r="C21" s="17">
        <f>SUM(B21:B29)</f>
        <v>19316478</v>
      </c>
      <c r="D21" s="18">
        <v>0.8</v>
      </c>
      <c r="E21" s="18">
        <v>557</v>
      </c>
      <c r="F21" s="14"/>
      <c r="G21" s="14"/>
      <c r="H21" s="14"/>
    </row>
    <row r="22" ht="20.05" customHeight="1">
      <c r="A22" t="s" s="12">
        <v>8</v>
      </c>
      <c r="B22" s="13">
        <v>5471583</v>
      </c>
      <c r="C22" s="14"/>
      <c r="D22" s="14"/>
      <c r="E22" s="14"/>
      <c r="F22" s="14"/>
      <c r="G22" s="14"/>
      <c r="H22" s="14"/>
    </row>
    <row r="23" ht="20.05" customHeight="1">
      <c r="A23" t="s" s="12">
        <v>8</v>
      </c>
      <c r="B23" s="13">
        <v>900214</v>
      </c>
      <c r="C23" s="14"/>
      <c r="D23" s="14"/>
      <c r="E23" s="14"/>
      <c r="F23" s="14"/>
      <c r="G23" s="14"/>
      <c r="H23" s="14"/>
    </row>
    <row r="24" ht="20.05" customHeight="1">
      <c r="A24" t="s" s="12">
        <v>8</v>
      </c>
      <c r="B24" s="13">
        <v>2117763</v>
      </c>
      <c r="C24" s="14"/>
      <c r="D24" s="14"/>
      <c r="E24" s="14"/>
      <c r="F24" s="14"/>
      <c r="G24" s="14"/>
      <c r="H24" s="14"/>
    </row>
    <row r="25" ht="20.05" customHeight="1">
      <c r="A25" t="s" s="12">
        <v>8</v>
      </c>
      <c r="B25" s="13">
        <v>62801</v>
      </c>
      <c r="C25" s="14"/>
      <c r="D25" s="14"/>
      <c r="E25" s="14"/>
      <c r="F25" s="14"/>
      <c r="G25" s="14"/>
      <c r="H25" s="14"/>
    </row>
    <row r="26" ht="20.05" customHeight="1">
      <c r="A26" t="s" s="12">
        <v>8</v>
      </c>
      <c r="B26" s="13">
        <v>52499</v>
      </c>
      <c r="C26" s="14"/>
      <c r="D26" s="14"/>
      <c r="E26" s="14"/>
      <c r="F26" s="14"/>
      <c r="G26" s="14"/>
      <c r="H26" s="14"/>
    </row>
    <row r="27" ht="20.05" customHeight="1">
      <c r="A27" t="s" s="12">
        <v>8</v>
      </c>
      <c r="B27" s="13">
        <v>94947</v>
      </c>
      <c r="C27" s="14"/>
      <c r="D27" s="14"/>
      <c r="E27" s="14"/>
      <c r="F27" s="14"/>
      <c r="G27" s="14"/>
      <c r="H27" s="14"/>
    </row>
    <row r="28" ht="20.05" customHeight="1">
      <c r="A28" t="s" s="12">
        <v>8</v>
      </c>
      <c r="B28" s="13">
        <v>1202267</v>
      </c>
      <c r="C28" s="14"/>
      <c r="D28" s="14"/>
      <c r="E28" s="14"/>
      <c r="F28" s="14"/>
      <c r="G28" s="14"/>
      <c r="H28" s="14"/>
    </row>
    <row r="29" ht="20.05" customHeight="1">
      <c r="A29" t="s" s="12">
        <v>8</v>
      </c>
      <c r="B29" s="13">
        <v>186644</v>
      </c>
      <c r="C29" s="14"/>
      <c r="D29" s="14"/>
      <c r="E29" s="14"/>
      <c r="F29" s="14"/>
      <c r="G29" s="14"/>
      <c r="H29" s="14"/>
    </row>
    <row r="30" ht="20.05" customHeight="1">
      <c r="A30" t="s" s="12">
        <v>9</v>
      </c>
      <c r="B30" s="13">
        <v>9069331</v>
      </c>
      <c r="C30" s="17">
        <f>SUM(B30:B38)</f>
        <v>19111321</v>
      </c>
      <c r="D30" s="18">
        <v>0.8</v>
      </c>
      <c r="E30" s="18">
        <v>528</v>
      </c>
      <c r="F30" s="14"/>
      <c r="G30" s="14"/>
      <c r="H30" s="14"/>
    </row>
    <row r="31" ht="20.05" customHeight="1">
      <c r="A31" t="s" s="12">
        <v>9</v>
      </c>
      <c r="B31" s="13">
        <v>5487650</v>
      </c>
      <c r="C31" s="14"/>
      <c r="D31" s="14"/>
      <c r="E31" s="14"/>
      <c r="F31" s="14"/>
      <c r="G31" s="14"/>
      <c r="H31" s="14"/>
    </row>
    <row r="32" ht="20.05" customHeight="1">
      <c r="A32" t="s" s="12">
        <v>9</v>
      </c>
      <c r="B32" s="13">
        <v>885109</v>
      </c>
      <c r="C32" s="14"/>
      <c r="D32" s="14"/>
      <c r="E32" s="14"/>
      <c r="F32" s="14"/>
      <c r="G32" s="14"/>
      <c r="H32" s="14"/>
    </row>
    <row r="33" ht="20.05" customHeight="1">
      <c r="A33" t="s" s="12">
        <v>9</v>
      </c>
      <c r="B33" s="13">
        <v>2083056</v>
      </c>
      <c r="C33" s="14"/>
      <c r="D33" s="14"/>
      <c r="E33" s="14"/>
      <c r="F33" s="14"/>
      <c r="G33" s="14"/>
      <c r="H33" s="14"/>
    </row>
    <row r="34" ht="20.05" customHeight="1">
      <c r="A34" t="s" s="12">
        <v>9</v>
      </c>
      <c r="B34" s="13">
        <v>62617</v>
      </c>
      <c r="C34" s="14"/>
      <c r="D34" s="14"/>
      <c r="E34" s="14"/>
      <c r="F34" s="14"/>
      <c r="G34" s="14"/>
      <c r="H34" s="14"/>
    </row>
    <row r="35" ht="20.05" customHeight="1">
      <c r="A35" t="s" s="12">
        <v>9</v>
      </c>
      <c r="B35" s="13">
        <v>51447</v>
      </c>
      <c r="C35" s="14"/>
      <c r="D35" s="14"/>
      <c r="E35" s="14"/>
      <c r="F35" s="14"/>
      <c r="G35" s="14"/>
      <c r="H35" s="14"/>
    </row>
    <row r="36" ht="20.05" customHeight="1">
      <c r="A36" t="s" s="12">
        <v>9</v>
      </c>
      <c r="B36" s="13">
        <v>93333</v>
      </c>
      <c r="C36" s="14"/>
      <c r="D36" s="14"/>
      <c r="E36" s="14"/>
      <c r="F36" s="14"/>
      <c r="G36" s="14"/>
      <c r="H36" s="14"/>
    </row>
    <row r="37" ht="20.05" customHeight="1">
      <c r="A37" t="s" s="12">
        <v>9</v>
      </c>
      <c r="B37" s="13">
        <v>1193198</v>
      </c>
      <c r="C37" s="14"/>
      <c r="D37" s="14"/>
      <c r="E37" s="14"/>
      <c r="F37" s="14"/>
      <c r="G37" s="14"/>
      <c r="H37" s="14"/>
    </row>
    <row r="38" ht="20.05" customHeight="1">
      <c r="A38" t="s" s="12">
        <v>9</v>
      </c>
      <c r="B38" s="13">
        <v>185580</v>
      </c>
      <c r="C38" s="14"/>
      <c r="D38" s="14"/>
      <c r="E38" s="14"/>
      <c r="F38" s="14"/>
      <c r="G38" s="14"/>
      <c r="H38" s="14"/>
    </row>
    <row r="39" ht="20.05" customHeight="1">
      <c r="A39" t="s" s="12">
        <v>10</v>
      </c>
      <c r="B39" s="13">
        <v>7781397</v>
      </c>
      <c r="C39" s="17">
        <f>SUM(B39:B47)</f>
        <v>17509863</v>
      </c>
      <c r="D39" s="18">
        <v>0.8</v>
      </c>
      <c r="E39" s="18">
        <v>498</v>
      </c>
      <c r="F39" s="14"/>
      <c r="G39" s="14"/>
      <c r="H39" s="14"/>
    </row>
    <row r="40" ht="20.05" customHeight="1">
      <c r="A40" t="s" s="12">
        <v>10</v>
      </c>
      <c r="B40" s="13">
        <v>5679081</v>
      </c>
      <c r="C40" s="14"/>
      <c r="D40" s="14"/>
      <c r="E40" s="14"/>
      <c r="F40" s="14"/>
      <c r="G40" s="14"/>
      <c r="H40" s="14"/>
    </row>
    <row r="41" ht="20.05" customHeight="1">
      <c r="A41" t="s" s="12">
        <v>10</v>
      </c>
      <c r="B41" s="13">
        <v>761764</v>
      </c>
      <c r="C41" s="14"/>
      <c r="D41" s="14"/>
      <c r="E41" s="14"/>
      <c r="F41" s="14"/>
      <c r="G41" s="14"/>
      <c r="H41" s="14"/>
    </row>
    <row r="42" ht="20.05" customHeight="1">
      <c r="A42" t="s" s="12">
        <v>10</v>
      </c>
      <c r="B42" s="13">
        <v>1799579</v>
      </c>
      <c r="C42" s="14"/>
      <c r="D42" s="14"/>
      <c r="E42" s="14"/>
      <c r="F42" s="14"/>
      <c r="G42" s="14"/>
      <c r="H42" s="14"/>
    </row>
    <row r="43" ht="20.05" customHeight="1">
      <c r="A43" t="s" s="12">
        <v>10</v>
      </c>
      <c r="B43" s="13">
        <v>61227</v>
      </c>
      <c r="C43" s="14"/>
      <c r="D43" s="14"/>
      <c r="E43" s="14"/>
      <c r="F43" s="14"/>
      <c r="G43" s="14"/>
      <c r="H43" s="14"/>
    </row>
    <row r="44" ht="20.05" customHeight="1">
      <c r="A44" t="s" s="12">
        <v>10</v>
      </c>
      <c r="B44" s="13">
        <v>43161</v>
      </c>
      <c r="C44" s="14"/>
      <c r="D44" s="14"/>
      <c r="E44" s="14"/>
      <c r="F44" s="14"/>
      <c r="G44" s="14"/>
      <c r="H44" s="14"/>
    </row>
    <row r="45" ht="20.05" customHeight="1">
      <c r="A45" t="s" s="12">
        <v>10</v>
      </c>
      <c r="B45" s="13">
        <v>80191</v>
      </c>
      <c r="C45" s="14"/>
      <c r="D45" s="14"/>
      <c r="E45" s="14"/>
      <c r="F45" s="14"/>
      <c r="G45" s="14"/>
      <c r="H45" s="14"/>
    </row>
    <row r="46" ht="20.05" customHeight="1">
      <c r="A46" t="s" s="12">
        <v>10</v>
      </c>
      <c r="B46" s="13">
        <v>1125831</v>
      </c>
      <c r="C46" s="14"/>
      <c r="D46" s="14"/>
      <c r="E46" s="14"/>
      <c r="F46" s="14"/>
      <c r="G46" s="14"/>
      <c r="H46" s="14"/>
    </row>
    <row r="47" ht="20.05" customHeight="1">
      <c r="A47" t="s" s="12">
        <v>10</v>
      </c>
      <c r="B47" s="13">
        <v>177632</v>
      </c>
      <c r="C47" s="14"/>
      <c r="D47" s="14"/>
      <c r="E47" s="14"/>
      <c r="F47" s="14"/>
      <c r="G47" s="14"/>
      <c r="H47" s="14"/>
    </row>
    <row r="48" ht="20.05" customHeight="1">
      <c r="A48" t="s" s="12">
        <v>11</v>
      </c>
      <c r="B48" s="13">
        <v>8752510</v>
      </c>
      <c r="C48" s="17">
        <f>SUM(B48:B56)</f>
        <v>18710221</v>
      </c>
      <c r="D48" s="18">
        <v>0.8</v>
      </c>
      <c r="E48" s="18">
        <v>521</v>
      </c>
      <c r="F48" s="14"/>
      <c r="G48" s="14"/>
      <c r="H48" s="14"/>
    </row>
    <row r="49" ht="20.05" customHeight="1">
      <c r="A49" t="s" s="12">
        <v>11</v>
      </c>
      <c r="B49" s="13">
        <v>5606038</v>
      </c>
      <c r="C49" s="14"/>
      <c r="D49" s="14"/>
      <c r="E49" s="14"/>
      <c r="F49" s="14"/>
      <c r="G49" s="14"/>
      <c r="H49" s="14"/>
    </row>
    <row r="50" ht="20.05" customHeight="1">
      <c r="A50" t="s" s="12">
        <v>11</v>
      </c>
      <c r="B50" s="13">
        <v>834101</v>
      </c>
      <c r="C50" s="14"/>
      <c r="D50" s="14"/>
      <c r="E50" s="14"/>
      <c r="F50" s="14"/>
      <c r="G50" s="14"/>
      <c r="H50" s="14"/>
    </row>
    <row r="51" ht="20.05" customHeight="1">
      <c r="A51" t="s" s="12">
        <v>11</v>
      </c>
      <c r="B51" s="13">
        <v>1965962</v>
      </c>
      <c r="C51" s="14"/>
      <c r="D51" s="14"/>
      <c r="E51" s="14"/>
      <c r="F51" s="14"/>
      <c r="G51" s="14"/>
      <c r="H51" s="14"/>
    </row>
    <row r="52" ht="20.05" customHeight="1">
      <c r="A52" t="s" s="12">
        <v>11</v>
      </c>
      <c r="B52" s="13">
        <v>62132</v>
      </c>
      <c r="C52" s="14"/>
      <c r="D52" s="14"/>
      <c r="E52" s="14"/>
      <c r="F52" s="14"/>
      <c r="G52" s="14"/>
      <c r="H52" s="14"/>
    </row>
    <row r="53" ht="20.05" customHeight="1">
      <c r="A53" t="s" s="12">
        <v>11</v>
      </c>
      <c r="B53" s="13">
        <v>49265</v>
      </c>
      <c r="C53" s="14"/>
      <c r="D53" s="14"/>
      <c r="E53" s="14"/>
      <c r="F53" s="14"/>
      <c r="G53" s="14"/>
      <c r="H53" s="14"/>
    </row>
    <row r="54" ht="20.05" customHeight="1">
      <c r="A54" t="s" s="12">
        <v>11</v>
      </c>
      <c r="B54" s="13">
        <v>87904</v>
      </c>
      <c r="C54" s="14"/>
      <c r="D54" s="14"/>
      <c r="E54" s="14"/>
      <c r="F54" s="14"/>
      <c r="G54" s="14"/>
      <c r="H54" s="14"/>
    </row>
    <row r="55" ht="20.05" customHeight="1">
      <c r="A55" t="s" s="12">
        <v>11</v>
      </c>
      <c r="B55" s="13">
        <v>1169521</v>
      </c>
      <c r="C55" s="14"/>
      <c r="D55" s="14"/>
      <c r="E55" s="14"/>
      <c r="F55" s="14"/>
      <c r="G55" s="14"/>
      <c r="H55" s="14"/>
    </row>
    <row r="56" ht="20.05" customHeight="1">
      <c r="A56" t="s" s="12">
        <v>11</v>
      </c>
      <c r="B56" s="13">
        <v>182788</v>
      </c>
      <c r="C56" s="14"/>
      <c r="D56" s="14"/>
      <c r="E56" s="14"/>
      <c r="F56" s="14"/>
      <c r="G56" s="14"/>
      <c r="H56" s="14"/>
    </row>
    <row r="57" ht="20.05" customHeight="1">
      <c r="A57" t="s" s="12">
        <v>12</v>
      </c>
      <c r="B57" s="13">
        <v>12078579</v>
      </c>
      <c r="C57" s="17">
        <f>SUM(B57:B65)</f>
        <v>25370605</v>
      </c>
      <c r="D57" s="18">
        <v>1.1</v>
      </c>
      <c r="E57" s="18">
        <v>521</v>
      </c>
      <c r="F57" s="14"/>
      <c r="G57" s="14"/>
      <c r="H57" s="14"/>
    </row>
    <row r="58" ht="20.05" customHeight="1">
      <c r="A58" t="s" s="12">
        <v>12</v>
      </c>
      <c r="B58" s="13">
        <v>5962255</v>
      </c>
      <c r="C58" s="14"/>
      <c r="D58" s="14"/>
      <c r="E58" s="14"/>
      <c r="F58" s="14"/>
      <c r="G58" s="14"/>
      <c r="H58" s="14"/>
    </row>
    <row r="59" ht="20.05" customHeight="1">
      <c r="A59" t="s" s="12">
        <v>12</v>
      </c>
      <c r="B59" s="13">
        <v>1522620</v>
      </c>
      <c r="C59" s="14"/>
      <c r="D59" s="14"/>
      <c r="E59" s="14"/>
      <c r="F59" s="14"/>
      <c r="G59" s="14"/>
      <c r="H59" s="14"/>
    </row>
    <row r="60" ht="20.05" customHeight="1">
      <c r="A60" t="s" s="12">
        <v>12</v>
      </c>
      <c r="B60" s="13">
        <v>3546076</v>
      </c>
      <c r="C60" s="14"/>
      <c r="D60" s="14"/>
      <c r="E60" s="14"/>
      <c r="F60" s="14"/>
      <c r="G60" s="14"/>
      <c r="H60" s="14"/>
    </row>
    <row r="61" ht="20.05" customHeight="1">
      <c r="A61" t="s" s="12">
        <v>12</v>
      </c>
      <c r="B61" s="13">
        <v>72027</v>
      </c>
      <c r="C61" s="14"/>
      <c r="D61" s="14"/>
      <c r="E61" s="14"/>
      <c r="F61" s="14"/>
      <c r="G61" s="14"/>
      <c r="H61" s="14"/>
    </row>
    <row r="62" ht="20.05" customHeight="1">
      <c r="A62" t="s" s="12">
        <v>12</v>
      </c>
      <c r="B62" s="13">
        <v>78814</v>
      </c>
      <c r="C62" s="14"/>
      <c r="D62" s="14"/>
      <c r="E62" s="14"/>
      <c r="F62" s="14"/>
      <c r="G62" s="14"/>
      <c r="H62" s="14"/>
    </row>
    <row r="63" ht="20.05" customHeight="1">
      <c r="A63" t="s" s="12">
        <v>12</v>
      </c>
      <c r="B63" s="13">
        <v>162076</v>
      </c>
      <c r="C63" s="14"/>
      <c r="D63" s="14"/>
      <c r="E63" s="14"/>
      <c r="F63" s="14"/>
      <c r="G63" s="14"/>
      <c r="H63" s="14"/>
    </row>
    <row r="64" ht="20.05" customHeight="1">
      <c r="A64" t="s" s="12">
        <v>12</v>
      </c>
      <c r="B64" s="13">
        <v>1704232</v>
      </c>
      <c r="C64" s="14"/>
      <c r="D64" s="14"/>
      <c r="E64" s="14"/>
      <c r="F64" s="14"/>
      <c r="G64" s="14"/>
      <c r="H64" s="14"/>
    </row>
    <row r="65" ht="20.05" customHeight="1">
      <c r="A65" t="s" s="12">
        <v>12</v>
      </c>
      <c r="B65" s="13">
        <v>243926</v>
      </c>
      <c r="C65" s="14"/>
      <c r="D65" s="14"/>
      <c r="E65" s="14"/>
      <c r="F65" s="14"/>
      <c r="G65" s="14"/>
      <c r="H65" s="14"/>
    </row>
    <row r="66" ht="20.05" customHeight="1">
      <c r="A66" t="s" s="12">
        <v>13</v>
      </c>
      <c r="B66" s="13">
        <v>13718986</v>
      </c>
      <c r="C66" s="17">
        <f>SUM(B66:B74)</f>
        <v>25738162</v>
      </c>
      <c r="D66" s="18">
        <v>1.1</v>
      </c>
      <c r="E66" s="18">
        <v>656</v>
      </c>
      <c r="F66" s="14"/>
      <c r="G66" s="14"/>
      <c r="H66" s="14"/>
    </row>
    <row r="67" ht="20.05" customHeight="1">
      <c r="A67" t="s" s="12">
        <v>13</v>
      </c>
      <c r="B67" s="13">
        <v>5133035</v>
      </c>
      <c r="C67" s="14"/>
      <c r="D67" s="14"/>
      <c r="E67" s="14"/>
      <c r="F67" s="14"/>
      <c r="G67" s="14"/>
      <c r="H67" s="14"/>
    </row>
    <row r="68" ht="20.05" customHeight="1">
      <c r="A68" t="s" s="12">
        <v>13</v>
      </c>
      <c r="B68" s="13">
        <v>1440051</v>
      </c>
      <c r="C68" s="14"/>
      <c r="D68" s="14"/>
      <c r="E68" s="14"/>
      <c r="F68" s="14"/>
      <c r="G68" s="14"/>
      <c r="H68" s="14"/>
    </row>
    <row r="69" ht="20.05" customHeight="1">
      <c r="A69" t="s" s="12">
        <v>13</v>
      </c>
      <c r="B69" s="13">
        <v>3355452</v>
      </c>
      <c r="C69" s="14"/>
      <c r="D69" s="14"/>
      <c r="E69" s="14"/>
      <c r="F69" s="14"/>
      <c r="G69" s="14"/>
      <c r="H69" s="14"/>
    </row>
    <row r="70" ht="20.05" customHeight="1">
      <c r="A70" t="s" s="12">
        <v>13</v>
      </c>
      <c r="B70" s="13">
        <v>69453</v>
      </c>
      <c r="C70" s="14"/>
      <c r="D70" s="14"/>
      <c r="E70" s="14"/>
      <c r="F70" s="14"/>
      <c r="G70" s="14"/>
      <c r="H70" s="14"/>
    </row>
    <row r="71" ht="20.05" customHeight="1">
      <c r="A71" t="s" s="12">
        <v>13</v>
      </c>
      <c r="B71" s="13">
        <v>86319</v>
      </c>
      <c r="C71" s="14"/>
      <c r="D71" s="14"/>
      <c r="E71" s="14"/>
      <c r="F71" s="14"/>
      <c r="G71" s="14"/>
      <c r="H71" s="14"/>
    </row>
    <row r="72" ht="20.05" customHeight="1">
      <c r="A72" t="s" s="12">
        <v>13</v>
      </c>
      <c r="B72" s="13">
        <v>152939</v>
      </c>
      <c r="C72" s="14"/>
      <c r="D72" s="14"/>
      <c r="E72" s="14"/>
      <c r="F72" s="14"/>
      <c r="G72" s="14"/>
      <c r="H72" s="14"/>
    </row>
    <row r="73" ht="20.05" customHeight="1">
      <c r="A73" t="s" s="12">
        <v>13</v>
      </c>
      <c r="B73" s="13">
        <v>1554748</v>
      </c>
      <c r="C73" s="14"/>
      <c r="D73" s="14"/>
      <c r="E73" s="14"/>
      <c r="F73" s="14"/>
      <c r="G73" s="14"/>
      <c r="H73" s="14"/>
    </row>
    <row r="74" ht="20.05" customHeight="1">
      <c r="A74" t="s" s="12">
        <v>13</v>
      </c>
      <c r="B74" s="13">
        <v>227179</v>
      </c>
      <c r="C74" s="14"/>
      <c r="D74" s="14"/>
      <c r="E74" s="14"/>
      <c r="F74" s="14"/>
      <c r="G74" s="14"/>
      <c r="H74" s="14"/>
    </row>
    <row r="75" ht="20.05" customHeight="1">
      <c r="A75" t="s" s="12">
        <v>14</v>
      </c>
      <c r="B75" s="13">
        <v>21481064</v>
      </c>
      <c r="C75" s="17">
        <f>SUM(B75:B83)</f>
        <v>45702047</v>
      </c>
      <c r="D75" s="18">
        <v>2</v>
      </c>
      <c r="E75" s="19">
        <v>656</v>
      </c>
      <c r="F75" s="16">
        <v>9259142</v>
      </c>
      <c r="G75" s="17">
        <f>SUM(F75:F83)</f>
        <v>20434591</v>
      </c>
      <c r="H75" s="18">
        <f>G75/(D75*211000000)</f>
        <v>0.0484232014218009</v>
      </c>
    </row>
    <row r="76" ht="20.05" customHeight="1">
      <c r="A76" t="s" s="12">
        <v>14</v>
      </c>
      <c r="B76" s="13">
        <v>16162024</v>
      </c>
      <c r="C76" s="14"/>
      <c r="D76" s="14"/>
      <c r="E76" s="15"/>
      <c r="F76" s="16">
        <v>6966437</v>
      </c>
      <c r="G76" s="14"/>
      <c r="H76" s="14"/>
    </row>
    <row r="77" ht="20.05" customHeight="1">
      <c r="A77" t="s" s="12">
        <v>14</v>
      </c>
      <c r="B77" s="13">
        <v>2202246</v>
      </c>
      <c r="C77" s="14"/>
      <c r="D77" s="14"/>
      <c r="E77" s="15"/>
      <c r="F77" s="16">
        <v>581139</v>
      </c>
      <c r="G77" s="14"/>
      <c r="H77" s="14"/>
    </row>
    <row r="78" ht="20.05" customHeight="1">
      <c r="A78" t="s" s="12">
        <v>14</v>
      </c>
      <c r="B78" s="13">
        <v>2311023</v>
      </c>
      <c r="C78" s="14"/>
      <c r="D78" s="14"/>
      <c r="E78" s="15"/>
      <c r="F78" s="16">
        <v>609844</v>
      </c>
      <c r="G78" s="14"/>
      <c r="H78" s="14"/>
    </row>
    <row r="79" ht="20.05" customHeight="1">
      <c r="A79" t="s" s="12">
        <v>14</v>
      </c>
      <c r="B79" s="13">
        <v>92617</v>
      </c>
      <c r="C79" s="14"/>
      <c r="D79" s="14"/>
      <c r="E79" s="15"/>
      <c r="F79" s="16">
        <v>92617</v>
      </c>
      <c r="G79" s="14"/>
      <c r="H79" s="14"/>
    </row>
    <row r="80" ht="20.05" customHeight="1">
      <c r="A80" t="s" s="12">
        <v>14</v>
      </c>
      <c r="B80" s="13">
        <v>81467</v>
      </c>
      <c r="C80" s="14"/>
      <c r="D80" s="14"/>
      <c r="E80" s="15"/>
      <c r="F80" s="16">
        <v>81467</v>
      </c>
      <c r="G80" s="14"/>
      <c r="H80" s="14"/>
    </row>
    <row r="81" ht="20.05" customHeight="1">
      <c r="A81" t="s" s="12">
        <v>14</v>
      </c>
      <c r="B81" s="13">
        <v>236971</v>
      </c>
      <c r="C81" s="14"/>
      <c r="D81" s="14"/>
      <c r="E81" s="15"/>
      <c r="F81" s="16">
        <v>195415</v>
      </c>
      <c r="G81" s="14"/>
      <c r="H81" s="14"/>
    </row>
    <row r="82" ht="20.05" customHeight="1">
      <c r="A82" t="s" s="12">
        <v>14</v>
      </c>
      <c r="B82" s="13">
        <v>2772013</v>
      </c>
      <c r="C82" s="14"/>
      <c r="D82" s="14"/>
      <c r="E82" s="15"/>
      <c r="F82" s="16">
        <v>2285908</v>
      </c>
      <c r="G82" s="14"/>
      <c r="H82" s="14"/>
    </row>
    <row r="83" ht="20.05" customHeight="1">
      <c r="A83" t="s" s="12">
        <v>14</v>
      </c>
      <c r="B83" s="13">
        <v>362622</v>
      </c>
      <c r="C83" s="14"/>
      <c r="D83" s="14"/>
      <c r="E83" s="15"/>
      <c r="F83" s="16">
        <v>362622</v>
      </c>
      <c r="G83" s="14"/>
      <c r="H83" s="14"/>
    </row>
  </sheetData>
  <mergeCells count="1">
    <mergeCell ref="A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